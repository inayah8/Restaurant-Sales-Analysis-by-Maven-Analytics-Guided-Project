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DUMMY PROJEK\Restaurant+Orders+MySQL\ANALISIS\"/>
    </mc:Choice>
  </mc:AlternateContent>
  <xr:revisionPtr revIDLastSave="0" documentId="13_ncr:1_{16552434-F8A8-43C9-9D53-0457AB9E5B7D}" xr6:coauthVersionLast="47" xr6:coauthVersionMax="47" xr10:uidLastSave="{00000000-0000-0000-0000-000000000000}"/>
  <bookViews>
    <workbookView xWindow="-120" yWindow="-120" windowWidth="20730" windowHeight="11160" firstSheet="5" activeTab="6" xr2:uid="{7CEE9A20-33DF-439C-BFF6-6BC30BE76C42}"/>
  </bookViews>
  <sheets>
    <sheet name="total_order_dan_total_item_terj" sheetId="7" r:id="rId1"/>
    <sheet name="jumlah_menu_per_kategori" sheetId="6" r:id="rId2"/>
    <sheet name="order_per_hari_dalam_seminggu" sheetId="5" r:id="rId3"/>
    <sheet name="jam_paling_sibuk" sheetId="4" r:id="rId4"/>
    <sheet name="top_10_menu_paling_laris" sheetId="3" r:id="rId5"/>
    <sheet name="total_revenue_per_kategori" sheetId="2" r:id="rId6"/>
    <sheet name="Dashboard" sheetId="1" r:id="rId7"/>
  </sheets>
  <definedNames>
    <definedName name="ExternalData_1" localSheetId="5" hidden="1">total_revenue_per_kategori!$A$1:$B$5</definedName>
    <definedName name="ExternalData_2" localSheetId="4" hidden="1">top_10_menu_paling_laris!$A$1:$C$11</definedName>
    <definedName name="ExternalData_3" localSheetId="3" hidden="1">jam_paling_sibuk!$A$1:$B$15</definedName>
    <definedName name="ExternalData_4" localSheetId="2" hidden="1">order_per_hari_dalam_seminggu!$A$1:$B$8</definedName>
    <definedName name="ExternalData_5" localSheetId="1" hidden="1">jumlah_menu_per_kategori!$A$1:$B$5</definedName>
    <definedName name="ExternalData_6" localSheetId="0" hidden="1">total_order_dan_total_item_terj!$A$1:$B$2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2A42C2-B30E-42C5-98A1-854F15AB9CE9}" keepAlive="1" name="Query - jam_paling_sibuk" description="Connection to the 'jam_paling_sibuk' query in the workbook." type="5" refreshedVersion="7" background="1" saveData="1">
    <dbPr connection="Provider=Microsoft.Mashup.OleDb.1;Data Source=$Workbook$;Location=jam_paling_sibuk;Extended Properties=&quot;&quot;" command="SELECT * FROM [jam_paling_sibuk]"/>
  </connection>
  <connection id="2" xr16:uid="{619B0302-8A48-41E4-974C-1D9A6572B75B}" keepAlive="1" name="Query - jumlah_menu_per_kategori" description="Connection to the 'jumlah_menu_per_kategori' query in the workbook." type="5" refreshedVersion="7" background="1" saveData="1">
    <dbPr connection="Provider=Microsoft.Mashup.OleDb.1;Data Source=$Workbook$;Location=jumlah_menu_per_kategori;Extended Properties=&quot;&quot;" command="SELECT * FROM [jumlah_menu_per_kategori]"/>
  </connection>
  <connection id="3" xr16:uid="{CA8CB3B4-08BE-4E1E-A511-3C575AC91652}" keepAlive="1" name="Query - order_per_hari_dalam_seminggu" description="Connection to the 'order_per_hari_dalam_seminggu' query in the workbook." type="5" refreshedVersion="7" background="1" saveData="1">
    <dbPr connection="Provider=Microsoft.Mashup.OleDb.1;Data Source=$Workbook$;Location=order_per_hari_dalam_seminggu;Extended Properties=&quot;&quot;" command="SELECT * FROM [order_per_hari_dalam_seminggu]"/>
  </connection>
  <connection id="4" xr16:uid="{8211EE7A-D1AC-4A22-BC55-8027C3B75303}" keepAlive="1" name="Query - top_10_menu_paling_laris" description="Connection to the 'top_10_menu_paling_laris' query in the workbook." type="5" refreshedVersion="7" background="1" saveData="1">
    <dbPr connection="Provider=Microsoft.Mashup.OleDb.1;Data Source=$Workbook$;Location=top_10_menu_paling_laris;Extended Properties=&quot;&quot;" command="SELECT * FROM [top_10_menu_paling_laris]"/>
  </connection>
  <connection id="5" xr16:uid="{B2323DF6-AC37-46AA-8E91-748B58A9B94F}" keepAlive="1" name="Query - total_order_dan_total_item_terjual" description="Connection to the 'total_order_dan_total_item_terjual' query in the workbook." type="5" refreshedVersion="7" background="1" saveData="1">
    <dbPr connection="Provider=Microsoft.Mashup.OleDb.1;Data Source=$Workbook$;Location=total_order_dan_total_item_terjual;Extended Properties=&quot;&quot;" command="SELECT * FROM [total_order_dan_total_item_terjual]"/>
  </connection>
  <connection id="6" xr16:uid="{6981B1C2-7A86-4CF0-998A-DD1780745043}" keepAlive="1" name="Query - total_revenue_per_kategori" description="Connection to the 'total_revenue_per_kategori' query in the workbook." type="5" refreshedVersion="7" background="1" saveData="1">
    <dbPr connection="Provider=Microsoft.Mashup.OleDb.1;Data Source=$Workbook$;Location=total_revenue_per_kategori;Extended Properties=&quot;&quot;" command="SELECT * FROM [total_revenue_per_kategori]"/>
  </connection>
</connections>
</file>

<file path=xl/sharedStrings.xml><?xml version="1.0" encoding="utf-8"?>
<sst xmlns="http://schemas.openxmlformats.org/spreadsheetml/2006/main" count="52" uniqueCount="35">
  <si>
    <t>category</t>
  </si>
  <si>
    <t>total_revenue</t>
  </si>
  <si>
    <t>Italian</t>
  </si>
  <si>
    <t>Asian</t>
  </si>
  <si>
    <t>Mexican</t>
  </si>
  <si>
    <t>American</t>
  </si>
  <si>
    <t>item_name</t>
  </si>
  <si>
    <t>jumlah_dipesan</t>
  </si>
  <si>
    <t>Hamburger</t>
  </si>
  <si>
    <t>Edamame</t>
  </si>
  <si>
    <t>Korean Beef Bowl</t>
  </si>
  <si>
    <t>Cheeseburger</t>
  </si>
  <si>
    <t>French Fries</t>
  </si>
  <si>
    <t>Tofu Pad Thai</t>
  </si>
  <si>
    <t>Steak Torta</t>
  </si>
  <si>
    <t>Spaghetti &amp; Meatballs</t>
  </si>
  <si>
    <t>Mac &amp; Cheese</t>
  </si>
  <si>
    <t>Chips &amp; Salsa</t>
  </si>
  <si>
    <t>jam</t>
  </si>
  <si>
    <t>jumlah_order</t>
  </si>
  <si>
    <t>hari</t>
  </si>
  <si>
    <t>Monday</t>
  </si>
  <si>
    <t>Tuesday</t>
  </si>
  <si>
    <t>Wednesday</t>
  </si>
  <si>
    <t>Thursday</t>
  </si>
  <si>
    <t>Friday</t>
  </si>
  <si>
    <t>Saturday</t>
  </si>
  <si>
    <t>Sunday</t>
  </si>
  <si>
    <t>jumlah_item</t>
  </si>
  <si>
    <t>total_order</t>
  </si>
  <si>
    <t>total_item_terjual</t>
  </si>
  <si>
    <t>Total Orders</t>
  </si>
  <si>
    <t>Total Items Sold</t>
  </si>
  <si>
    <t>Total Revenue</t>
  </si>
  <si>
    <t>Restaurant Sales Dashboard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</si>
</sst>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1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1" i="0" u="none" strike="noStrike" baseline="0">
                <a:effectLst/>
              </a:rPr>
              <a:t>Menu Distribution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jumlah_menu_per_kategori!$B$1</c:f>
              <c:strCache>
                <c:ptCount val="1"/>
                <c:pt idx="0">
                  <c:v>jumlah_item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jumlah_menu_per_kategori!$A$2:$A$5</c:f>
              <c:strCache>
                <c:ptCount val="4"/>
                <c:pt idx="0">
                  <c:v>American</c:v>
                </c:pt>
                <c:pt idx="1">
                  <c:v>Asian</c:v>
                </c:pt>
                <c:pt idx="2">
                  <c:v>Mexican</c:v>
                </c:pt>
                <c:pt idx="3">
                  <c:v>Italian</c:v>
                </c:pt>
              </c:strCache>
            </c:strRef>
          </c:cat>
          <c:val>
            <c:numRef>
              <c:f>jumlah_menu_per_kategori!$B$2:$B$5</c:f>
              <c:numCache>
                <c:formatCode>General</c:formatCode>
                <c:ptCount val="4"/>
                <c:pt idx="0">
                  <c:v>6</c:v>
                </c:pt>
                <c:pt idx="1">
                  <c:v>8</c:v>
                </c:pt>
                <c:pt idx="2">
                  <c:v>9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A1-4727-97FF-E3438D106E28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1" i="0" u="none" strike="noStrike" baseline="0">
                <a:effectLst/>
              </a:rPr>
              <a:t>Orders by Day of Week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order_per_hari_dalam_seminggu!$B$1</c:f>
              <c:strCache>
                <c:ptCount val="1"/>
                <c:pt idx="0">
                  <c:v>jumlah_order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order_per_hari_dalam_seminggu!$A$2:$A$8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order_per_hari_dalam_seminggu!$B$2:$B$8</c:f>
              <c:numCache>
                <c:formatCode>General</c:formatCode>
                <c:ptCount val="7"/>
                <c:pt idx="0">
                  <c:v>885</c:v>
                </c:pt>
                <c:pt idx="1">
                  <c:v>766</c:v>
                </c:pt>
                <c:pt idx="2">
                  <c:v>682</c:v>
                </c:pt>
                <c:pt idx="3">
                  <c:v>743</c:v>
                </c:pt>
                <c:pt idx="4">
                  <c:v>787</c:v>
                </c:pt>
                <c:pt idx="5">
                  <c:v>711</c:v>
                </c:pt>
                <c:pt idx="6">
                  <c:v>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8E-4850-94C4-1477F415C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4531504"/>
        <c:axId val="1484545232"/>
      </c:barChart>
      <c:catAx>
        <c:axId val="148453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545232"/>
        <c:crosses val="autoZero"/>
        <c:auto val="1"/>
        <c:lblAlgn val="ctr"/>
        <c:lblOffset val="100"/>
        <c:noMultiLvlLbl val="0"/>
      </c:catAx>
      <c:valAx>
        <c:axId val="148454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531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1" i="0" u="none" strike="noStrike" baseline="0">
                <a:effectLst/>
              </a:rPr>
              <a:t>Orders by Hour of Day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jam_paling_sibuk!$B$1</c:f>
              <c:strCache>
                <c:ptCount val="1"/>
                <c:pt idx="0">
                  <c:v>jumlah_order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jam_paling_sibuk!$A$2:$A$15</c:f>
              <c:numCache>
                <c:formatCode>General</c:formatCode>
                <c:ptCount val="14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</c:numCache>
            </c:numRef>
          </c:cat>
          <c:val>
            <c:numRef>
              <c:f>jam_paling_sibuk!$B$2:$B$15</c:f>
              <c:numCache>
                <c:formatCode>General</c:formatCode>
                <c:ptCount val="14"/>
                <c:pt idx="0">
                  <c:v>5</c:v>
                </c:pt>
                <c:pt idx="1">
                  <c:v>630</c:v>
                </c:pt>
                <c:pt idx="2">
                  <c:v>1672</c:v>
                </c:pt>
                <c:pt idx="3">
                  <c:v>1575</c:v>
                </c:pt>
                <c:pt idx="4">
                  <c:v>968</c:v>
                </c:pt>
                <c:pt idx="5">
                  <c:v>751</c:v>
                </c:pt>
                <c:pt idx="6">
                  <c:v>1054</c:v>
                </c:pt>
                <c:pt idx="7">
                  <c:v>1370</c:v>
                </c:pt>
                <c:pt idx="8">
                  <c:v>1307</c:v>
                </c:pt>
                <c:pt idx="9">
                  <c:v>1085</c:v>
                </c:pt>
                <c:pt idx="10">
                  <c:v>889</c:v>
                </c:pt>
                <c:pt idx="11">
                  <c:v>608</c:v>
                </c:pt>
                <c:pt idx="12">
                  <c:v>309</c:v>
                </c:pt>
                <c:pt idx="1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A9-4B08-A61D-FF0414326A8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84543984"/>
        <c:axId val="1484527344"/>
      </c:lineChart>
      <c:catAx>
        <c:axId val="1484543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Jam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527344"/>
        <c:crosses val="autoZero"/>
        <c:auto val="1"/>
        <c:lblAlgn val="ctr"/>
        <c:lblOffset val="100"/>
        <c:noMultiLvlLbl val="0"/>
      </c:catAx>
      <c:valAx>
        <c:axId val="148452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Jumlah Orders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54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1" i="0" u="none" strike="noStrike" baseline="0">
                <a:effectLst/>
              </a:rPr>
              <a:t>Top 10 Best-Selling Menu Items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top_10_menu_paling_laris!$C$1</c:f>
              <c:strCache>
                <c:ptCount val="1"/>
                <c:pt idx="0">
                  <c:v>jumlah_dipesan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top_10_menu_paling_laris!$A$2:$B$11</c15:sqref>
                  </c15:fullRef>
                  <c15:levelRef>
                    <c15:sqref>top_10_menu_paling_laris!$A$2:$A$11</c15:sqref>
                  </c15:levelRef>
                </c:ext>
              </c:extLst>
              <c:f>top_10_menu_paling_laris!$A$2:$A$11</c:f>
              <c:strCache>
                <c:ptCount val="10"/>
                <c:pt idx="0">
                  <c:v>Hamburger</c:v>
                </c:pt>
                <c:pt idx="1">
                  <c:v>Edamame</c:v>
                </c:pt>
                <c:pt idx="2">
                  <c:v>Korean Beef Bowl</c:v>
                </c:pt>
                <c:pt idx="3">
                  <c:v>Cheeseburger</c:v>
                </c:pt>
                <c:pt idx="4">
                  <c:v>French Fries</c:v>
                </c:pt>
                <c:pt idx="5">
                  <c:v>Tofu Pad Thai</c:v>
                </c:pt>
                <c:pt idx="6">
                  <c:v>Steak Torta</c:v>
                </c:pt>
                <c:pt idx="7">
                  <c:v>Spaghetti &amp; Meatballs</c:v>
                </c:pt>
                <c:pt idx="8">
                  <c:v>Mac &amp; Cheese</c:v>
                </c:pt>
                <c:pt idx="9">
                  <c:v>Chips &amp; Salsa</c:v>
                </c:pt>
              </c:strCache>
            </c:strRef>
          </c:cat>
          <c:val>
            <c:numRef>
              <c:f>top_10_menu_paling_laris!$C$2:$C$11</c:f>
              <c:numCache>
                <c:formatCode>General</c:formatCode>
                <c:ptCount val="10"/>
                <c:pt idx="0">
                  <c:v>622</c:v>
                </c:pt>
                <c:pt idx="1">
                  <c:v>620</c:v>
                </c:pt>
                <c:pt idx="2">
                  <c:v>588</c:v>
                </c:pt>
                <c:pt idx="3">
                  <c:v>583</c:v>
                </c:pt>
                <c:pt idx="4">
                  <c:v>571</c:v>
                </c:pt>
                <c:pt idx="5">
                  <c:v>562</c:v>
                </c:pt>
                <c:pt idx="6">
                  <c:v>489</c:v>
                </c:pt>
                <c:pt idx="7">
                  <c:v>470</c:v>
                </c:pt>
                <c:pt idx="8">
                  <c:v>463</c:v>
                </c:pt>
                <c:pt idx="9">
                  <c:v>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2B-482E-8259-D9EB9B12B884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2889200"/>
        <c:axId val="1492882960"/>
      </c:barChart>
      <c:catAx>
        <c:axId val="1492889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882960"/>
        <c:crosses val="autoZero"/>
        <c:auto val="1"/>
        <c:lblAlgn val="ctr"/>
        <c:lblOffset val="100"/>
        <c:noMultiLvlLbl val="0"/>
      </c:catAx>
      <c:valAx>
        <c:axId val="149288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889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1" i="0" u="none" strike="noStrike" baseline="0">
                <a:effectLst/>
              </a:rPr>
              <a:t>Total 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total_revenue_per_kategori!$B$1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total_revenue_per_kategori!$A$2:$A$5</c:f>
              <c:strCache>
                <c:ptCount val="4"/>
                <c:pt idx="0">
                  <c:v>Italian</c:v>
                </c:pt>
                <c:pt idx="1">
                  <c:v>Asian</c:v>
                </c:pt>
                <c:pt idx="2">
                  <c:v>Mexican</c:v>
                </c:pt>
                <c:pt idx="3">
                  <c:v>American</c:v>
                </c:pt>
              </c:strCache>
            </c:strRef>
          </c:cat>
          <c:val>
            <c:numRef>
              <c:f>total_revenue_per_kategori!$B$2:$B$5</c:f>
              <c:numCache>
                <c:formatCode>General</c:formatCode>
                <c:ptCount val="4"/>
                <c:pt idx="0">
                  <c:v>4946270</c:v>
                </c:pt>
                <c:pt idx="1">
                  <c:v>4672065</c:v>
                </c:pt>
                <c:pt idx="2">
                  <c:v>3479680</c:v>
                </c:pt>
                <c:pt idx="3">
                  <c:v>2823775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01-4BC5-99C2-F693526F4B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84536912"/>
        <c:axId val="1484532336"/>
      </c:barChart>
      <c:catAx>
        <c:axId val="148453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532336"/>
        <c:crosses val="autoZero"/>
        <c:auto val="1"/>
        <c:lblAlgn val="ctr"/>
        <c:lblOffset val="100"/>
        <c:noMultiLvlLbl val="0"/>
      </c:catAx>
      <c:valAx>
        <c:axId val="148453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536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76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1" i="0" u="none" strike="noStrike" baseline="0">
                <a:effectLst/>
              </a:rPr>
              <a:t>Total 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total_revenue_per_kategori!$B$1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total_revenue_per_kategori!$A$2:$A$5</c:f>
              <c:strCache>
                <c:ptCount val="4"/>
                <c:pt idx="0">
                  <c:v>Italian</c:v>
                </c:pt>
                <c:pt idx="1">
                  <c:v>Asian</c:v>
                </c:pt>
                <c:pt idx="2">
                  <c:v>Mexican</c:v>
                </c:pt>
                <c:pt idx="3">
                  <c:v>American</c:v>
                </c:pt>
              </c:strCache>
            </c:strRef>
          </c:cat>
          <c:val>
            <c:numRef>
              <c:f>total_revenue_per_kategori!$B$2:$B$5</c:f>
              <c:numCache>
                <c:formatCode>General</c:formatCode>
                <c:ptCount val="4"/>
                <c:pt idx="0">
                  <c:v>4946270</c:v>
                </c:pt>
                <c:pt idx="1">
                  <c:v>4672065</c:v>
                </c:pt>
                <c:pt idx="2">
                  <c:v>3479680</c:v>
                </c:pt>
                <c:pt idx="3">
                  <c:v>2823775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64-4F35-AA45-160E519DC2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84536912"/>
        <c:axId val="1484532336"/>
      </c:barChart>
      <c:catAx>
        <c:axId val="148453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532336"/>
        <c:crosses val="autoZero"/>
        <c:auto val="1"/>
        <c:lblAlgn val="ctr"/>
        <c:lblOffset val="100"/>
        <c:noMultiLvlLbl val="0"/>
      </c:catAx>
      <c:valAx>
        <c:axId val="148453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536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76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1" i="0" u="none" strike="noStrike" baseline="0">
                <a:effectLst/>
              </a:rPr>
              <a:t>Top 10 Best-Selling Menu Items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top_10_menu_paling_laris!$C$1</c:f>
              <c:strCache>
                <c:ptCount val="1"/>
                <c:pt idx="0">
                  <c:v>jumlah_dipesan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top_10_menu_paling_laris!$A$2:$B$11</c15:sqref>
                  </c15:fullRef>
                  <c15:levelRef>
                    <c15:sqref>top_10_menu_paling_laris!$A$2:$A$11</c15:sqref>
                  </c15:levelRef>
                </c:ext>
              </c:extLst>
              <c:f>top_10_menu_paling_laris!$A$2:$A$11</c:f>
              <c:strCache>
                <c:ptCount val="10"/>
                <c:pt idx="0">
                  <c:v>Hamburger</c:v>
                </c:pt>
                <c:pt idx="1">
                  <c:v>Edamame</c:v>
                </c:pt>
                <c:pt idx="2">
                  <c:v>Korean Beef Bowl</c:v>
                </c:pt>
                <c:pt idx="3">
                  <c:v>Cheeseburger</c:v>
                </c:pt>
                <c:pt idx="4">
                  <c:v>French Fries</c:v>
                </c:pt>
                <c:pt idx="5">
                  <c:v>Tofu Pad Thai</c:v>
                </c:pt>
                <c:pt idx="6">
                  <c:v>Steak Torta</c:v>
                </c:pt>
                <c:pt idx="7">
                  <c:v>Spaghetti &amp; Meatballs</c:v>
                </c:pt>
                <c:pt idx="8">
                  <c:v>Mac &amp; Cheese</c:v>
                </c:pt>
                <c:pt idx="9">
                  <c:v>Chips &amp; Salsa</c:v>
                </c:pt>
              </c:strCache>
            </c:strRef>
          </c:cat>
          <c:val>
            <c:numRef>
              <c:f>top_10_menu_paling_laris!$C$2:$C$11</c:f>
              <c:numCache>
                <c:formatCode>General</c:formatCode>
                <c:ptCount val="10"/>
                <c:pt idx="0">
                  <c:v>622</c:v>
                </c:pt>
                <c:pt idx="1">
                  <c:v>620</c:v>
                </c:pt>
                <c:pt idx="2">
                  <c:v>588</c:v>
                </c:pt>
                <c:pt idx="3">
                  <c:v>583</c:v>
                </c:pt>
                <c:pt idx="4">
                  <c:v>571</c:v>
                </c:pt>
                <c:pt idx="5">
                  <c:v>562</c:v>
                </c:pt>
                <c:pt idx="6">
                  <c:v>489</c:v>
                </c:pt>
                <c:pt idx="7">
                  <c:v>470</c:v>
                </c:pt>
                <c:pt idx="8">
                  <c:v>463</c:v>
                </c:pt>
                <c:pt idx="9">
                  <c:v>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F6-4B08-87A6-AEAE87438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2889200"/>
        <c:axId val="1492882960"/>
      </c:barChart>
      <c:catAx>
        <c:axId val="1492889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882960"/>
        <c:crosses val="autoZero"/>
        <c:auto val="1"/>
        <c:lblAlgn val="ctr"/>
        <c:lblOffset val="100"/>
        <c:noMultiLvlLbl val="0"/>
      </c:catAx>
      <c:valAx>
        <c:axId val="149288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889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1" i="0" u="none" strike="noStrike" baseline="0">
                <a:effectLst/>
              </a:rPr>
              <a:t>Orders by Hour of Day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jam_paling_sibuk!$B$1</c:f>
              <c:strCache>
                <c:ptCount val="1"/>
                <c:pt idx="0">
                  <c:v>jumlah_order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jam_paling_sibuk!$A$2:$A$15</c:f>
              <c:numCache>
                <c:formatCode>General</c:formatCode>
                <c:ptCount val="14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</c:numCache>
            </c:numRef>
          </c:cat>
          <c:val>
            <c:numRef>
              <c:f>jam_paling_sibuk!$B$2:$B$15</c:f>
              <c:numCache>
                <c:formatCode>General</c:formatCode>
                <c:ptCount val="14"/>
                <c:pt idx="0">
                  <c:v>5</c:v>
                </c:pt>
                <c:pt idx="1">
                  <c:v>630</c:v>
                </c:pt>
                <c:pt idx="2">
                  <c:v>1672</c:v>
                </c:pt>
                <c:pt idx="3">
                  <c:v>1575</c:v>
                </c:pt>
                <c:pt idx="4">
                  <c:v>968</c:v>
                </c:pt>
                <c:pt idx="5">
                  <c:v>751</c:v>
                </c:pt>
                <c:pt idx="6">
                  <c:v>1054</c:v>
                </c:pt>
                <c:pt idx="7">
                  <c:v>1370</c:v>
                </c:pt>
                <c:pt idx="8">
                  <c:v>1307</c:v>
                </c:pt>
                <c:pt idx="9">
                  <c:v>1085</c:v>
                </c:pt>
                <c:pt idx="10">
                  <c:v>889</c:v>
                </c:pt>
                <c:pt idx="11">
                  <c:v>608</c:v>
                </c:pt>
                <c:pt idx="12">
                  <c:v>309</c:v>
                </c:pt>
                <c:pt idx="1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19-4841-82C2-E536CF178F6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84543984"/>
        <c:axId val="1484527344"/>
      </c:lineChart>
      <c:catAx>
        <c:axId val="1484543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Jam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527344"/>
        <c:crosses val="autoZero"/>
        <c:auto val="1"/>
        <c:lblAlgn val="ctr"/>
        <c:lblOffset val="100"/>
        <c:noMultiLvlLbl val="0"/>
      </c:catAx>
      <c:valAx>
        <c:axId val="148452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Jumlah Orders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54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1" i="0" u="none" strike="noStrike" baseline="0">
                <a:effectLst/>
              </a:rPr>
              <a:t>Orders by Day of Week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order_per_hari_dalam_seminggu!$B$1</c:f>
              <c:strCache>
                <c:ptCount val="1"/>
                <c:pt idx="0">
                  <c:v>jumlah_order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order_per_hari_dalam_seminggu!$A$2:$A$8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order_per_hari_dalam_seminggu!$B$2:$B$8</c:f>
              <c:numCache>
                <c:formatCode>General</c:formatCode>
                <c:ptCount val="7"/>
                <c:pt idx="0">
                  <c:v>885</c:v>
                </c:pt>
                <c:pt idx="1">
                  <c:v>766</c:v>
                </c:pt>
                <c:pt idx="2">
                  <c:v>682</c:v>
                </c:pt>
                <c:pt idx="3">
                  <c:v>743</c:v>
                </c:pt>
                <c:pt idx="4">
                  <c:v>787</c:v>
                </c:pt>
                <c:pt idx="5">
                  <c:v>711</c:v>
                </c:pt>
                <c:pt idx="6">
                  <c:v>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14-4FFA-B35E-8C2404B9B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4531504"/>
        <c:axId val="1484545232"/>
      </c:barChart>
      <c:catAx>
        <c:axId val="148453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545232"/>
        <c:crosses val="autoZero"/>
        <c:auto val="1"/>
        <c:lblAlgn val="ctr"/>
        <c:lblOffset val="100"/>
        <c:noMultiLvlLbl val="0"/>
      </c:catAx>
      <c:valAx>
        <c:axId val="148454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531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1" i="0" u="none" strike="noStrike" baseline="0">
                <a:effectLst/>
              </a:rPr>
              <a:t>Menu Distribution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jumlah_menu_per_kategori!$B$1</c:f>
              <c:strCache>
                <c:ptCount val="1"/>
                <c:pt idx="0">
                  <c:v>jumlah_item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3A2-4CDD-974A-5EDAB78C64D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A2-4CDD-974A-5EDAB78C64D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A2-4CDD-974A-5EDAB78C64D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3A2-4CDD-974A-5EDAB78C64D0}"/>
              </c:ext>
            </c:extLst>
          </c:dPt>
          <c:cat>
            <c:strRef>
              <c:f>jumlah_menu_per_kategori!$A$2:$A$5</c:f>
              <c:strCache>
                <c:ptCount val="4"/>
                <c:pt idx="0">
                  <c:v>American</c:v>
                </c:pt>
                <c:pt idx="1">
                  <c:v>Asian</c:v>
                </c:pt>
                <c:pt idx="2">
                  <c:v>Mexican</c:v>
                </c:pt>
                <c:pt idx="3">
                  <c:v>Italian</c:v>
                </c:pt>
              </c:strCache>
            </c:strRef>
          </c:cat>
          <c:val>
            <c:numRef>
              <c:f>jumlah_menu_per_kategori!$B$2:$B$5</c:f>
              <c:numCache>
                <c:formatCode>General</c:formatCode>
                <c:ptCount val="4"/>
                <c:pt idx="0">
                  <c:v>6</c:v>
                </c:pt>
                <c:pt idx="1">
                  <c:v>8</c:v>
                </c:pt>
                <c:pt idx="2">
                  <c:v>9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3A2-4CDD-974A-5EDAB78C6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1</xdr:row>
      <xdr:rowOff>61912</xdr:rowOff>
    </xdr:from>
    <xdr:to>
      <xdr:col>10</xdr:col>
      <xdr:colOff>295275</xdr:colOff>
      <xdr:row>15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91EB38-DE67-4169-B85A-A794EB472E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14287</xdr:rowOff>
    </xdr:from>
    <xdr:to>
      <xdr:col>10</xdr:col>
      <xdr:colOff>314325</xdr:colOff>
      <xdr:row>15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C59C73-A9DB-40A8-8D4F-2AAD20CD24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2</xdr:row>
      <xdr:rowOff>90487</xdr:rowOff>
    </xdr:from>
    <xdr:to>
      <xdr:col>11</xdr:col>
      <xdr:colOff>114300</xdr:colOff>
      <xdr:row>16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E2B775-E05D-4DF7-B9B1-6A982EA9FE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</xdr:row>
      <xdr:rowOff>185737</xdr:rowOff>
    </xdr:from>
    <xdr:to>
      <xdr:col>11</xdr:col>
      <xdr:colOff>314325</xdr:colOff>
      <xdr:row>16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EBDDDE-8875-4A26-85AB-F771311D50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14287</xdr:rowOff>
    </xdr:from>
    <xdr:to>
      <xdr:col>10</xdr:col>
      <xdr:colOff>314325</xdr:colOff>
      <xdr:row>16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DB3FE1-71DD-4D54-BB27-610189403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8</xdr:row>
      <xdr:rowOff>0</xdr:rowOff>
    </xdr:from>
    <xdr:to>
      <xdr:col>7</xdr:col>
      <xdr:colOff>314325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B22EB1-8FDA-4D09-A854-90722569AC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8</xdr:row>
      <xdr:rowOff>0</xdr:rowOff>
    </xdr:from>
    <xdr:to>
      <xdr:col>15</xdr:col>
      <xdr:colOff>314325</xdr:colOff>
      <xdr:row>22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D395F2-7AC4-4190-AFDF-A88327870C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7</xdr:col>
      <xdr:colOff>304800</xdr:colOff>
      <xdr:row>38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D1F08A-1692-42EE-B10C-3FAE0A2DC6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24</xdr:row>
      <xdr:rowOff>0</xdr:rowOff>
    </xdr:from>
    <xdr:to>
      <xdr:col>15</xdr:col>
      <xdr:colOff>304800</xdr:colOff>
      <xdr:row>38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197C0A-FDCD-4020-9520-044A2D1C7C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7</xdr:col>
      <xdr:colOff>304800</xdr:colOff>
      <xdr:row>54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4F10166-9D40-4288-B04F-BECDD7433F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" xr16:uid="{DE58D681-5C34-48FD-AA2E-3611ECCB1FA5}" autoFormatId="16" applyNumberFormats="0" applyBorderFormats="0" applyFontFormats="0" applyPatternFormats="0" applyAlignmentFormats="0" applyWidthHeightFormats="0">
  <queryTableRefresh nextId="3">
    <queryTableFields count="2">
      <queryTableField id="1" name="total_order" tableColumnId="1"/>
      <queryTableField id="2" name="total_item_terjual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20E0FC36-D53C-4A8A-A137-6CF2FADE7777}" autoFormatId="16" applyNumberFormats="0" applyBorderFormats="0" applyFontFormats="0" applyPatternFormats="0" applyAlignmentFormats="0" applyWidthHeightFormats="0">
  <queryTableRefresh nextId="3">
    <queryTableFields count="2">
      <queryTableField id="1" name="category" tableColumnId="1"/>
      <queryTableField id="2" name="jumlah_item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915A72E6-3D8C-42CF-AE3A-45A1B86BDBDE}" autoFormatId="16" applyNumberFormats="0" applyBorderFormats="0" applyFontFormats="0" applyPatternFormats="0" applyAlignmentFormats="0" applyWidthHeightFormats="0">
  <queryTableRefresh nextId="3">
    <queryTableFields count="2">
      <queryTableField id="1" name="hari" tableColumnId="1"/>
      <queryTableField id="2" name="jumlah_order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EE3846CB-E4E9-452F-AE7F-EC02F6970C5F}" autoFormatId="16" applyNumberFormats="0" applyBorderFormats="0" applyFontFormats="0" applyPatternFormats="0" applyAlignmentFormats="0" applyWidthHeightFormats="0">
  <queryTableRefresh nextId="3">
    <queryTableFields count="2">
      <queryTableField id="1" name="jam" tableColumnId="1"/>
      <queryTableField id="2" name="jumlah_order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F0099DBF-BEB8-4EFF-926C-E8DC9A33DE9A}" autoFormatId="16" applyNumberFormats="0" applyBorderFormats="0" applyFontFormats="0" applyPatternFormats="0" applyAlignmentFormats="0" applyWidthHeightFormats="0">
  <queryTableRefresh nextId="4">
    <queryTableFields count="3">
      <queryTableField id="1" name="item_name" tableColumnId="1"/>
      <queryTableField id="2" name="category" tableColumnId="2"/>
      <queryTableField id="3" name="jumlah_dipesan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FC8810D4-4BF7-4C3E-9015-6D063B819664}" autoFormatId="16" applyNumberFormats="0" applyBorderFormats="0" applyFontFormats="0" applyPatternFormats="0" applyAlignmentFormats="0" applyWidthHeightFormats="0">
  <queryTableRefresh nextId="3">
    <queryTableFields count="2">
      <queryTableField id="1" name="category" tableColumnId="1"/>
      <queryTableField id="2" name="total_revenu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AC15697-1A57-45CE-9F0A-02E65D55DEAB}" name="total_order_dan_total_item_terjual" displayName="total_order_dan_total_item_terjual" ref="A1:B2" tableType="queryTable" totalsRowShown="0">
  <autoFilter ref="A1:B2" xr:uid="{7AC15697-1A57-45CE-9F0A-02E65D55DEAB}"/>
  <tableColumns count="2">
    <tableColumn id="1" xr3:uid="{FE55B04F-C800-4816-94F5-BB11C9D095C7}" uniqueName="1" name="total_order" queryTableFieldId="1"/>
    <tableColumn id="2" xr3:uid="{38EF1716-9834-41DF-B54A-9F57884139C4}" uniqueName="2" name="total_item_terjual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C894A4B-AAC1-4507-AAEE-4483A3CBFDC9}" name="jumlah_menu_per_kategori" displayName="jumlah_menu_per_kategori" ref="A1:B5" tableType="queryTable" totalsRowShown="0">
  <autoFilter ref="A1:B5" xr:uid="{9C894A4B-AAC1-4507-AAEE-4483A3CBFDC9}"/>
  <tableColumns count="2">
    <tableColumn id="1" xr3:uid="{94CCA3CF-B957-462D-8B6D-29C842F44A55}" uniqueName="1" name="category" queryTableFieldId="1" dataDxfId="0"/>
    <tableColumn id="2" xr3:uid="{1F0BFF95-8A1B-4812-A030-D9A79A8CA0A1}" uniqueName="2" name="jumlah_item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AFEF734-772B-45C5-8FD0-1965849A1211}" name="order_per_hari_dalam_seminggu" displayName="order_per_hari_dalam_seminggu" ref="A1:B8" tableType="queryTable" totalsRowShown="0">
  <autoFilter ref="A1:B8" xr:uid="{CAFEF734-772B-45C5-8FD0-1965849A1211}"/>
  <tableColumns count="2">
    <tableColumn id="1" xr3:uid="{2E0436D7-40E4-46D9-94ED-1DE8803B80A0}" uniqueName="1" name="hari" queryTableFieldId="1" dataDxfId="1"/>
    <tableColumn id="2" xr3:uid="{B5675226-4D82-433D-B969-841E9FBDB4AE}" uniqueName="2" name="jumlah_order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4DEEA8-DAB5-42BB-84BB-055B4F412497}" name="jam_paling_sibuk" displayName="jam_paling_sibuk" ref="A1:B15" tableType="queryTable" totalsRowShown="0">
  <autoFilter ref="A1:B15" xr:uid="{0C4DEEA8-DAB5-42BB-84BB-055B4F412497}"/>
  <tableColumns count="2">
    <tableColumn id="1" xr3:uid="{6AFD62E0-0958-40DF-9AA1-C4221C67DD66}" uniqueName="1" name="jam" queryTableFieldId="1"/>
    <tableColumn id="2" xr3:uid="{6B09BBBE-CA88-4C36-B3F5-4F0F831A24EE}" uniqueName="2" name="jumlah_order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779DE0-8FFC-4384-B82C-05E6FE511794}" name="top_10_menu_paling_laris" displayName="top_10_menu_paling_laris" ref="A1:C11" tableType="queryTable" totalsRowShown="0">
  <autoFilter ref="A1:C11" xr:uid="{2B779DE0-8FFC-4384-B82C-05E6FE511794}"/>
  <tableColumns count="3">
    <tableColumn id="1" xr3:uid="{8E85940A-424E-42FA-AEFF-11511F98C629}" uniqueName="1" name="item_name" queryTableFieldId="1" dataDxfId="3"/>
    <tableColumn id="2" xr3:uid="{C4C2AEF8-A61A-4608-B6D2-3E61AB96260E}" uniqueName="2" name="category" queryTableFieldId="2" dataDxfId="2"/>
    <tableColumn id="3" xr3:uid="{FFA704BF-911F-4AEB-A66E-602241FC828F}" uniqueName="3" name="jumlah_dipesan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D35FF1-F469-487E-8B6E-1615467E0532}" name="total_revenue_per_kategori" displayName="total_revenue_per_kategori" ref="A1:B5" tableType="queryTable" totalsRowShown="0">
  <autoFilter ref="A1:B5" xr:uid="{E4D35FF1-F469-487E-8B6E-1615467E0532}"/>
  <tableColumns count="2">
    <tableColumn id="1" xr3:uid="{6500D70C-4DA7-4FC3-8D20-11599C445D0A}" uniqueName="1" name="category" queryTableFieldId="1" dataDxfId="4"/>
    <tableColumn id="2" xr3:uid="{649DABAA-ECB6-45D2-9FD6-D05E7F273A97}" uniqueName="2" name="total_revenu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874D3-7484-41D6-8813-4903D1F61F2C}">
  <dimension ref="A1:B2"/>
  <sheetViews>
    <sheetView workbookViewId="0">
      <selection activeCell="A2" sqref="A2"/>
    </sheetView>
  </sheetViews>
  <sheetFormatPr defaultRowHeight="15" x14ac:dyDescent="0.25"/>
  <cols>
    <col min="1" max="1" width="13.28515625" bestFit="1" customWidth="1"/>
    <col min="2" max="2" width="19.7109375" bestFit="1" customWidth="1"/>
  </cols>
  <sheetData>
    <row r="1" spans="1:2" x14ac:dyDescent="0.25">
      <c r="A1" t="s">
        <v>29</v>
      </c>
      <c r="B1" t="s">
        <v>30</v>
      </c>
    </row>
    <row r="2" spans="1:2" x14ac:dyDescent="0.25">
      <c r="A2">
        <v>5370</v>
      </c>
      <c r="B2">
        <v>12234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31018-643A-40CA-A402-0C65296EF598}">
  <dimension ref="A1:B5"/>
  <sheetViews>
    <sheetView workbookViewId="0">
      <selection activeCell="M14" sqref="M14"/>
    </sheetView>
  </sheetViews>
  <sheetFormatPr defaultRowHeight="15" x14ac:dyDescent="0.25"/>
  <cols>
    <col min="1" max="1" width="10.85546875" bestFit="1" customWidth="1"/>
    <col min="2" max="2" width="14.5703125" bestFit="1" customWidth="1"/>
  </cols>
  <sheetData>
    <row r="1" spans="1:2" x14ac:dyDescent="0.25">
      <c r="A1" t="s">
        <v>0</v>
      </c>
      <c r="B1" t="s">
        <v>28</v>
      </c>
    </row>
    <row r="2" spans="1:2" x14ac:dyDescent="0.25">
      <c r="A2" s="1" t="s">
        <v>5</v>
      </c>
      <c r="B2">
        <v>6</v>
      </c>
    </row>
    <row r="3" spans="1:2" x14ac:dyDescent="0.25">
      <c r="A3" s="1" t="s">
        <v>3</v>
      </c>
      <c r="B3">
        <v>8</v>
      </c>
    </row>
    <row r="4" spans="1:2" x14ac:dyDescent="0.25">
      <c r="A4" s="1" t="s">
        <v>4</v>
      </c>
      <c r="B4">
        <v>9</v>
      </c>
    </row>
    <row r="5" spans="1:2" x14ac:dyDescent="0.25">
      <c r="A5" s="1" t="s">
        <v>2</v>
      </c>
      <c r="B5">
        <v>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B0468-FF16-44A8-A930-E1C151B143BD}">
  <dimension ref="A1:B8"/>
  <sheetViews>
    <sheetView workbookViewId="0">
      <selection activeCell="M9" sqref="M9"/>
    </sheetView>
  </sheetViews>
  <sheetFormatPr defaultRowHeight="15" x14ac:dyDescent="0.25"/>
  <cols>
    <col min="1" max="1" width="11.42578125" bestFit="1" customWidth="1"/>
    <col min="2" max="2" width="15.42578125" bestFit="1" customWidth="1"/>
  </cols>
  <sheetData>
    <row r="1" spans="1:2" x14ac:dyDescent="0.25">
      <c r="A1" t="s">
        <v>20</v>
      </c>
      <c r="B1" t="s">
        <v>19</v>
      </c>
    </row>
    <row r="2" spans="1:2" x14ac:dyDescent="0.25">
      <c r="A2" s="1" t="s">
        <v>21</v>
      </c>
      <c r="B2">
        <v>885</v>
      </c>
    </row>
    <row r="3" spans="1:2" x14ac:dyDescent="0.25">
      <c r="A3" s="1" t="s">
        <v>22</v>
      </c>
      <c r="B3">
        <v>766</v>
      </c>
    </row>
    <row r="4" spans="1:2" x14ac:dyDescent="0.25">
      <c r="A4" s="1" t="s">
        <v>23</v>
      </c>
      <c r="B4">
        <v>682</v>
      </c>
    </row>
    <row r="5" spans="1:2" x14ac:dyDescent="0.25">
      <c r="A5" s="1" t="s">
        <v>24</v>
      </c>
      <c r="B5">
        <v>743</v>
      </c>
    </row>
    <row r="6" spans="1:2" x14ac:dyDescent="0.25">
      <c r="A6" s="1" t="s">
        <v>25</v>
      </c>
      <c r="B6">
        <v>787</v>
      </c>
    </row>
    <row r="7" spans="1:2" x14ac:dyDescent="0.25">
      <c r="A7" s="1" t="s">
        <v>26</v>
      </c>
      <c r="B7">
        <v>711</v>
      </c>
    </row>
    <row r="8" spans="1:2" x14ac:dyDescent="0.25">
      <c r="A8" s="1" t="s">
        <v>27</v>
      </c>
      <c r="B8">
        <v>796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BC19F-AC80-4C02-A320-3D721DEF2A1E}">
  <dimension ref="A1:B15"/>
  <sheetViews>
    <sheetView workbookViewId="0">
      <selection activeCell="D4" sqref="D4"/>
    </sheetView>
  </sheetViews>
  <sheetFormatPr defaultRowHeight="15" x14ac:dyDescent="0.25"/>
  <cols>
    <col min="1" max="1" width="6.5703125" bestFit="1" customWidth="1"/>
    <col min="2" max="2" width="15.42578125" bestFit="1" customWidth="1"/>
  </cols>
  <sheetData>
    <row r="1" spans="1:2" x14ac:dyDescent="0.25">
      <c r="A1" t="s">
        <v>18</v>
      </c>
      <c r="B1" t="s">
        <v>19</v>
      </c>
    </row>
    <row r="2" spans="1:2" x14ac:dyDescent="0.25">
      <c r="A2">
        <v>10</v>
      </c>
      <c r="B2">
        <v>5</v>
      </c>
    </row>
    <row r="3" spans="1:2" x14ac:dyDescent="0.25">
      <c r="A3">
        <v>11</v>
      </c>
      <c r="B3">
        <v>630</v>
      </c>
    </row>
    <row r="4" spans="1:2" x14ac:dyDescent="0.25">
      <c r="A4">
        <v>12</v>
      </c>
      <c r="B4">
        <v>1672</v>
      </c>
    </row>
    <row r="5" spans="1:2" x14ac:dyDescent="0.25">
      <c r="A5">
        <v>13</v>
      </c>
      <c r="B5">
        <v>1575</v>
      </c>
    </row>
    <row r="6" spans="1:2" x14ac:dyDescent="0.25">
      <c r="A6">
        <v>14</v>
      </c>
      <c r="B6">
        <v>968</v>
      </c>
    </row>
    <row r="7" spans="1:2" x14ac:dyDescent="0.25">
      <c r="A7">
        <v>15</v>
      </c>
      <c r="B7">
        <v>751</v>
      </c>
    </row>
    <row r="8" spans="1:2" x14ac:dyDescent="0.25">
      <c r="A8">
        <v>16</v>
      </c>
      <c r="B8">
        <v>1054</v>
      </c>
    </row>
    <row r="9" spans="1:2" x14ac:dyDescent="0.25">
      <c r="A9">
        <v>17</v>
      </c>
      <c r="B9">
        <v>1370</v>
      </c>
    </row>
    <row r="10" spans="1:2" x14ac:dyDescent="0.25">
      <c r="A10">
        <v>18</v>
      </c>
      <c r="B10">
        <v>1307</v>
      </c>
    </row>
    <row r="11" spans="1:2" x14ac:dyDescent="0.25">
      <c r="A11">
        <v>19</v>
      </c>
      <c r="B11">
        <v>1085</v>
      </c>
    </row>
    <row r="12" spans="1:2" x14ac:dyDescent="0.25">
      <c r="A12">
        <v>20</v>
      </c>
      <c r="B12">
        <v>889</v>
      </c>
    </row>
    <row r="13" spans="1:2" x14ac:dyDescent="0.25">
      <c r="A13">
        <v>21</v>
      </c>
      <c r="B13">
        <v>608</v>
      </c>
    </row>
    <row r="14" spans="1:2" x14ac:dyDescent="0.25">
      <c r="A14">
        <v>22</v>
      </c>
      <c r="B14">
        <v>309</v>
      </c>
    </row>
    <row r="15" spans="1:2" x14ac:dyDescent="0.25">
      <c r="A15">
        <v>23</v>
      </c>
      <c r="B15">
        <v>11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1373C-755D-4756-A981-6A367F970159}">
  <dimension ref="A1:C11"/>
  <sheetViews>
    <sheetView workbookViewId="0">
      <selection activeCell="M12" sqref="M12"/>
    </sheetView>
  </sheetViews>
  <sheetFormatPr defaultRowHeight="15" x14ac:dyDescent="0.25"/>
  <cols>
    <col min="1" max="1" width="20.7109375" bestFit="1" customWidth="1"/>
    <col min="2" max="2" width="10.85546875" bestFit="1" customWidth="1"/>
    <col min="3" max="3" width="17.5703125" bestFit="1" customWidth="1"/>
  </cols>
  <sheetData>
    <row r="1" spans="1:3" x14ac:dyDescent="0.25">
      <c r="A1" t="s">
        <v>6</v>
      </c>
      <c r="B1" t="s">
        <v>0</v>
      </c>
      <c r="C1" t="s">
        <v>7</v>
      </c>
    </row>
    <row r="2" spans="1:3" x14ac:dyDescent="0.25">
      <c r="A2" s="1" t="s">
        <v>8</v>
      </c>
      <c r="B2" s="1" t="s">
        <v>5</v>
      </c>
      <c r="C2">
        <v>622</v>
      </c>
    </row>
    <row r="3" spans="1:3" x14ac:dyDescent="0.25">
      <c r="A3" s="1" t="s">
        <v>9</v>
      </c>
      <c r="B3" s="1" t="s">
        <v>3</v>
      </c>
      <c r="C3">
        <v>620</v>
      </c>
    </row>
    <row r="4" spans="1:3" x14ac:dyDescent="0.25">
      <c r="A4" s="1" t="s">
        <v>10</v>
      </c>
      <c r="B4" s="1" t="s">
        <v>3</v>
      </c>
      <c r="C4">
        <v>588</v>
      </c>
    </row>
    <row r="5" spans="1:3" x14ac:dyDescent="0.25">
      <c r="A5" s="1" t="s">
        <v>11</v>
      </c>
      <c r="B5" s="1" t="s">
        <v>5</v>
      </c>
      <c r="C5">
        <v>583</v>
      </c>
    </row>
    <row r="6" spans="1:3" x14ac:dyDescent="0.25">
      <c r="A6" s="1" t="s">
        <v>12</v>
      </c>
      <c r="B6" s="1" t="s">
        <v>5</v>
      </c>
      <c r="C6">
        <v>571</v>
      </c>
    </row>
    <row r="7" spans="1:3" x14ac:dyDescent="0.25">
      <c r="A7" s="1" t="s">
        <v>13</v>
      </c>
      <c r="B7" s="1" t="s">
        <v>3</v>
      </c>
      <c r="C7">
        <v>562</v>
      </c>
    </row>
    <row r="8" spans="1:3" x14ac:dyDescent="0.25">
      <c r="A8" s="1" t="s">
        <v>14</v>
      </c>
      <c r="B8" s="1" t="s">
        <v>4</v>
      </c>
      <c r="C8">
        <v>489</v>
      </c>
    </row>
    <row r="9" spans="1:3" x14ac:dyDescent="0.25">
      <c r="A9" s="1" t="s">
        <v>15</v>
      </c>
      <c r="B9" s="1" t="s">
        <v>2</v>
      </c>
      <c r="C9">
        <v>470</v>
      </c>
    </row>
    <row r="10" spans="1:3" x14ac:dyDescent="0.25">
      <c r="A10" s="1" t="s">
        <v>16</v>
      </c>
      <c r="B10" s="1" t="s">
        <v>5</v>
      </c>
      <c r="C10">
        <v>463</v>
      </c>
    </row>
    <row r="11" spans="1:3" x14ac:dyDescent="0.25">
      <c r="A11" s="1" t="s">
        <v>17</v>
      </c>
      <c r="B11" s="1" t="s">
        <v>4</v>
      </c>
      <c r="C11">
        <v>461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55241-AC58-49FA-A072-E7DB85091038}">
  <dimension ref="A1:B7"/>
  <sheetViews>
    <sheetView workbookViewId="0">
      <selection sqref="A1:B5"/>
    </sheetView>
  </sheetViews>
  <sheetFormatPr defaultRowHeight="15" x14ac:dyDescent="0.25"/>
  <cols>
    <col min="1" max="1" width="10.85546875" bestFit="1" customWidth="1"/>
    <col min="2" max="2" width="16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4946270</v>
      </c>
    </row>
    <row r="3" spans="1:2" x14ac:dyDescent="0.25">
      <c r="A3" s="1" t="s">
        <v>3</v>
      </c>
      <c r="B3">
        <v>4672065</v>
      </c>
    </row>
    <row r="4" spans="1:2" x14ac:dyDescent="0.25">
      <c r="A4" s="1" t="s">
        <v>4</v>
      </c>
      <c r="B4">
        <v>3479680</v>
      </c>
    </row>
    <row r="5" spans="1:2" x14ac:dyDescent="0.25">
      <c r="A5" s="1" t="s">
        <v>5</v>
      </c>
      <c r="B5">
        <v>2823775</v>
      </c>
    </row>
    <row r="7" spans="1:2" x14ac:dyDescent="0.25">
      <c r="B7">
        <f>SUM(total_revenue_per_kategori[total_revenue])</f>
        <v>15921790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6F913-2645-4186-9C2F-F615E79F5389}">
  <dimension ref="D3:K6"/>
  <sheetViews>
    <sheetView showGridLines="0" tabSelected="1" topLeftCell="A3" zoomScale="80" zoomScaleNormal="80" workbookViewId="0">
      <selection activeCell="Q32" sqref="Q32"/>
    </sheetView>
  </sheetViews>
  <sheetFormatPr defaultRowHeight="15" x14ac:dyDescent="0.25"/>
  <sheetData>
    <row r="3" spans="4:11" ht="26.25" x14ac:dyDescent="0.4">
      <c r="E3" s="2" t="s">
        <v>34</v>
      </c>
    </row>
    <row r="5" spans="4:11" ht="15.75" x14ac:dyDescent="0.25">
      <c r="D5" s="5" t="s">
        <v>31</v>
      </c>
      <c r="E5" s="6"/>
      <c r="G5" s="5" t="s">
        <v>32</v>
      </c>
      <c r="H5" s="6"/>
      <c r="J5" s="5" t="s">
        <v>33</v>
      </c>
      <c r="K5" s="6"/>
    </row>
    <row r="6" spans="4:11" ht="15.75" x14ac:dyDescent="0.25">
      <c r="D6" s="3">
        <v>5370</v>
      </c>
      <c r="E6" s="4"/>
      <c r="G6" s="3">
        <v>12234</v>
      </c>
      <c r="H6" s="4"/>
      <c r="J6" s="3">
        <v>15921790</v>
      </c>
      <c r="K6" s="4"/>
    </row>
  </sheetData>
  <mergeCells count="6">
    <mergeCell ref="D5:E5"/>
    <mergeCell ref="G5:H5"/>
    <mergeCell ref="J5:K5"/>
    <mergeCell ref="D6:E6"/>
    <mergeCell ref="G6:H6"/>
    <mergeCell ref="J6:K6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F4654B-47E7-4045-B845-0E08980F95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total_order_dan_total_item_terj</vt:lpstr>
      <vt:lpstr>jumlah_menu_per_kategori</vt:lpstr>
      <vt:lpstr>order_per_hari_dalam_seminggu</vt:lpstr>
      <vt:lpstr>jam_paling_sibuk</vt:lpstr>
      <vt:lpstr>top_10_menu_paling_laris</vt:lpstr>
      <vt:lpstr>total_revenue_per_kategori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Inayah Maula</dc:creator>
  <cp:lastModifiedBy>Inayah Maula</cp:lastModifiedBy>
  <dcterms:created xsi:type="dcterms:W3CDTF">2026-10-11T07:50:58Z</dcterms:created>
  <dcterms:modified xsi:type="dcterms:W3CDTF">2026-10-12T10:30:43Z</dcterms:modified>
</cp:coreProperties>
</file>